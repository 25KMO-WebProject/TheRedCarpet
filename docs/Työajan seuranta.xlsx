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ulu-my.sharepoint.com/personal/samikkol22_students_oamk_fi/Documents/"/>
    </mc:Choice>
  </mc:AlternateContent>
  <xr:revisionPtr revIDLastSave="0" documentId="8_{EBE10E26-9C5F-4C98-B842-FC6001B42ED7}" xr6:coauthVersionLast="47" xr6:coauthVersionMax="47" xr10:uidLastSave="{00000000-0000-0000-0000-000000000000}"/>
  <bookViews>
    <workbookView xWindow="-35760" yWindow="2400" windowWidth="16455" windowHeight="9450" activeTab="2" xr2:uid="{B7036960-D674-4B76-B564-D076AACD5E6B}"/>
  </bookViews>
  <sheets>
    <sheet name="Riku Ängeslevä" sheetId="4" r:id="rId1"/>
    <sheet name="Santeri Mikkola" sheetId="6" r:id="rId2"/>
    <sheet name="Matti Rundelin" sheetId="7" r:id="rId3"/>
    <sheet name="Jermu Huttunen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6" l="1"/>
  <c r="E2" i="4"/>
  <c r="D3" i="8"/>
  <c r="F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tc={62BA71C6-FB13-4EC8-8F77-0B362BBBEE65}</author>
    <author>tc={503DE129-82A4-4445-904D-ABEAAC04D5B9}</author>
    <author>Matti Rundelin</author>
  </authors>
  <commentList>
    <comment ref="B4" authorId="0" shapeId="0" xr:uid="{62BA71C6-FB13-4EC8-8F77-0B362BBBEE65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 -branchiin ei voi pushata suoraan vaan vaativat Pull Requestin. Requestit linkkaantuvat itsestään backlog itemien kanssa. Myös PR:t ilmaantuvat itse backlogiin ja niiden tilat.</t>
      </text>
    </comment>
    <comment ref="B5" authorId="1" shapeId="0" xr:uid="{503DE129-82A4-4445-904D-ABEAAC04D5B9}">
      <text>
        <t>[Threaded comment]
Your version of Excel allows you to read this threaded comment; however, any edits to it will get removed if the file is opened in a newer version of Excel. Learn more: https://go.microsoft.com/fwlink/?linkid=870924
Comment:
    palvelin infrastruktuurikaavio ja sisäänkirjautumisen tilakaavio</t>
      </text>
    </comment>
    <comment ref="B6" authorId="2" shapeId="0" xr:uid="{C5E4540F-C4A5-4C1E-B24A-469E599861A3}">
      <text>
        <r>
          <rPr>
            <sz val="11"/>
            <color theme="1"/>
            <rFont val="Calibri"/>
            <family val="2"/>
            <scheme val="minor"/>
          </rPr>
          <t xml:space="preserve">Matti Rundelin:
Jounin tekemä docker-sample ei tuntunut omassa Fedora 43:ssa toimivan SELinux määrittelyiden takia.
Forkkasin ja tein AI:n kanssa tarvittavat muokkaukset jotta toimii Linux Fedorassa, sitten tein version joka kuuluisi ChatGPT:n mukaan toimia kaikissa käyttöjärjestelmissä
Linkki:
https://github.com/Kealerator/docker_sample_uni/commit/9a1d34b8fcc8a8d7f2e3fc89fd164370db62ee80
</t>
        </r>
      </text>
    </comment>
  </commentList>
</comments>
</file>

<file path=xl/sharedStrings.xml><?xml version="1.0" encoding="utf-8"?>
<sst xmlns="http://schemas.openxmlformats.org/spreadsheetml/2006/main" count="184" uniqueCount="141">
  <si>
    <t>Ryhmä:</t>
  </si>
  <si>
    <t>Pvm</t>
  </si>
  <si>
    <t>Tehtävä</t>
  </si>
  <si>
    <t>Riku Ängeslevä</t>
  </si>
  <si>
    <t>27.8.2026</t>
  </si>
  <si>
    <t>1. Palaveri, dokumentaation aloitus</t>
  </si>
  <si>
    <t>3.9.2026</t>
  </si>
  <si>
    <t>2. Palaveri, tietokannan suunnittelua</t>
  </si>
  <si>
    <t>UI suunnittelua</t>
  </si>
  <si>
    <t>8.9.2026</t>
  </si>
  <si>
    <t>Etusivu näyttää 5 elokuvaa</t>
  </si>
  <si>
    <t>10.9.2026</t>
  </si>
  <si>
    <t>Etusivu näyttää 5 elokuvaa korjausta, git</t>
  </si>
  <si>
    <t>3. Palaveri, component, merge main</t>
  </si>
  <si>
    <t>15.9.2026</t>
  </si>
  <si>
    <t>Rekisteröinti backend</t>
  </si>
  <si>
    <t>16.9.2026</t>
  </si>
  <si>
    <t>17.9.2026</t>
  </si>
  <si>
    <t>Rekisteröinti frontend</t>
  </si>
  <si>
    <t>20.9.2026</t>
  </si>
  <si>
    <t>Elokuvakorttien skaalaus/sovitus näyttöön</t>
  </si>
  <si>
    <t>21.9.2026</t>
  </si>
  <si>
    <t>Merge ja skaalaus</t>
  </si>
  <si>
    <t>24.9.2026</t>
  </si>
  <si>
    <t>4. Palaveri, review suunnittelu</t>
  </si>
  <si>
    <t>25.9.2026</t>
  </si>
  <si>
    <t>Review backend</t>
  </si>
  <si>
    <t>26.9.2026</t>
  </si>
  <si>
    <t>Review backend auth</t>
  </si>
  <si>
    <t>30.9.2026</t>
  </si>
  <si>
    <t>Review frontend</t>
  </si>
  <si>
    <t>1.10.2026</t>
  </si>
  <si>
    <t>Review frontend elokuvan kortissa</t>
  </si>
  <si>
    <t>3.10.2026</t>
  </si>
  <si>
    <t>Nowplaying media details</t>
  </si>
  <si>
    <t>4.10.2026</t>
  </si>
  <si>
    <t>Review tmdb--&gt;movies db+ css</t>
  </si>
  <si>
    <t>5.10.2026</t>
  </si>
  <si>
    <t>Review css + PR</t>
  </si>
  <si>
    <t>9.10.2026</t>
  </si>
  <si>
    <t>embla karuselli</t>
  </si>
  <si>
    <t>10.10.2026</t>
  </si>
  <si>
    <t>11.10.2026</t>
  </si>
  <si>
    <t>embla karuselli, optimointia ja PR</t>
  </si>
  <si>
    <t>13.10.2026</t>
  </si>
  <si>
    <t>Nowplaying responsiivisuus</t>
  </si>
  <si>
    <t>14.10.2026</t>
  </si>
  <si>
    <t>Presentation prep, palaveri</t>
  </si>
  <si>
    <t>Santeri Mikkola</t>
  </si>
  <si>
    <t>yht:</t>
  </si>
  <si>
    <t>27.08.2026</t>
  </si>
  <si>
    <t>Palaveri ja dokumentaation aloitus</t>
  </si>
  <si>
    <t>Palaveri ja tietokanta suunnittelua</t>
  </si>
  <si>
    <t>Elokuvien haku v1 (haku elokuvan nimellä)</t>
  </si>
  <si>
    <t>Elokuvien haku v2 (lisätty suodattimia, mergetty ja testattu toimivaksi tiimijäsenten muutosten kanssa) + palaveri</t>
  </si>
  <si>
    <t>Elokuvien haku v3 (parannettu hakutulosten käyttöliittymää)</t>
  </si>
  <si>
    <t>Elokuvien haku v3 (siivottu koodi komponenteiksi ja mergetty projektin uusimman version kanssa, testattu toimivaksi)</t>
  </si>
  <si>
    <t>Elokuvien lisätieto ikkuna v1 (elokuva hakutulosta voi klikata ja avautuu kyseisen elokuvan lisätieto ikkuna)</t>
  </si>
  <si>
    <t>Suosikit näkymä ja suosikki (sydän nappi) v1</t>
  </si>
  <si>
    <t>Paranneltu (Elokuvien lisätieto ikkunaa ja Suosikit näkymää) testattu toimivaksi projektin uusimman version kanssa</t>
  </si>
  <si>
    <t>Käyttäjäkohtaiset suosikit</t>
  </si>
  <si>
    <t>Projekti versioiden mergeämistä ja testausta</t>
  </si>
  <si>
    <t>Suosikkilistan jako-ominaisuus v1 (proto versio)</t>
  </si>
  <si>
    <t>Suosikkilistan jako-ominaisuus v2 (koodin jakoa komponentteihin, siistimistä ja kommentointia)</t>
  </si>
  <si>
    <t>Projektin uusimman version yhdistäminen/integrointi ja testaus</t>
  </si>
  <si>
    <t>Useita pieniä parannuksia: (Kirjautumisikkunaan autoFocus, logon navikoinnin korjaus ryhmäsivulta, Tunnusten vahvistus ennen tilin poistamista, Rekisteröinnin jälkeen suoraan kirjautumiseen)</t>
  </si>
  <si>
    <t>profiilivalikon muuttaminen dropdowniksi</t>
  </si>
  <si>
    <t>Automaattiset REST API testit</t>
  </si>
  <si>
    <t>Ryhmien elokuvien lisäykselle backend</t>
  </si>
  <si>
    <t>Presentation prep palaveri</t>
  </si>
  <si>
    <t>Matti Rundelin</t>
  </si>
  <si>
    <t>Yhteensä</t>
  </si>
  <si>
    <t>GitHub &amp; Scrub alustus</t>
  </si>
  <si>
    <t>GitHub &amp; Scrub toimivuuden testaus</t>
  </si>
  <si>
    <t>Backlog itemien lisääminen &amp; dokumentaatio</t>
  </si>
  <si>
    <t>UI Design &amp; Docker samplen miettimistä, backlog updates</t>
  </si>
  <si>
    <t>DB  ER kaavion ja UI:n suunnittelua</t>
  </si>
  <si>
    <t>Docker implement &amp; DB data init + seed</t>
  </si>
  <si>
    <t>API accounts &amp; movies routing + movie tittle search</t>
  </si>
  <si>
    <t>Better DB design and ERD</t>
  </si>
  <si>
    <t>Debugging</t>
  </si>
  <si>
    <t xml:space="preserve">API stream parsijan kehitys </t>
  </si>
  <si>
    <t>API parsijan valmistelu</t>
  </si>
  <si>
    <t>auth middleware ja groups routen suojaaminen</t>
  </si>
  <si>
    <t>healthCheck middleware, Groups.jsx tokenin käsittely</t>
  </si>
  <si>
    <t>Token expiration optimointia</t>
  </si>
  <si>
    <t>Rekisteröinti hover ikkunan optimointia</t>
  </si>
  <si>
    <t>group_movies ominaisuus dropdown hausta ja parser</t>
  </si>
  <si>
    <t>Esityksen preppaamista</t>
  </si>
  <si>
    <t>GroupPage ehostamista</t>
  </si>
  <si>
    <t>Dokumentaatio</t>
  </si>
  <si>
    <t>Jermu Huttunen</t>
  </si>
  <si>
    <t>Tunnit Yht:</t>
  </si>
  <si>
    <t>Dokumentaatiota ja Backlogin tekemistä</t>
  </si>
  <si>
    <t>2.9.2026</t>
  </si>
  <si>
    <t>Dockerin miettimistä sekä UI-Design teko</t>
  </si>
  <si>
    <t>Tietokannan suunnittelua</t>
  </si>
  <si>
    <t>UI-Design (Ryhmä sivu)</t>
  </si>
  <si>
    <t>Front-end Prototyyppi Navbarin teko</t>
  </si>
  <si>
    <t>Sekä myös Responsiivisuus</t>
  </si>
  <si>
    <t>9.9.2026</t>
  </si>
  <si>
    <t>Proto Navbarin + responsiivisuuden hienosäätöä</t>
  </si>
  <si>
    <t>Navbar-komponentiksi + merge-konfliktien ratkomista.</t>
  </si>
  <si>
    <t>13.9.2026</t>
  </si>
  <si>
    <t>Merge konflikti ja viimeiset korjaamiset</t>
  </si>
  <si>
    <t>Alustava tilinpoisto ominaisuus</t>
  </si>
  <si>
    <t xml:space="preserve">Signup-frontend UI </t>
  </si>
  <si>
    <t>SignIn-Frontend UI + merge</t>
  </si>
  <si>
    <t>Delete function prototyyppi</t>
  </si>
  <si>
    <t>Bugien selvittelyä</t>
  </si>
  <si>
    <t>sekä Delete functio backend toimivuus</t>
  </si>
  <si>
    <t>22.9.2026</t>
  </si>
  <si>
    <t>Profiili-nappi + uloskirjautuminen toiminto</t>
  </si>
  <si>
    <t>23.9.2026</t>
  </si>
  <si>
    <t>Poista tili -nappi frontend</t>
  </si>
  <si>
    <t>Ryhmäsivun ensiaskeleet</t>
  </si>
  <si>
    <t>Ryhmäsivun Backend query-pyyntöjä</t>
  </si>
  <si>
    <t>Loginin pävittelyä</t>
  </si>
  <si>
    <t>29.9.2026</t>
  </si>
  <si>
    <t>Ryhmän luominen backend + frontend</t>
  </si>
  <si>
    <t>Ryhmän luominen proto + liittymispyynnöt</t>
  </si>
  <si>
    <t>GetAllGroups päivittelyä + suodatin sivulla</t>
  </si>
  <si>
    <t>GroupPage-prototyyppi</t>
  </si>
  <si>
    <t>JoinRequests ryhmän mukaan backend</t>
  </si>
  <si>
    <t>JoinRequests ryhmän mukaan frontend</t>
  </si>
  <si>
    <t>GroupDelete-backend + bugfixing</t>
  </si>
  <si>
    <t>bugien korjailua</t>
  </si>
  <si>
    <t>JoinRequests approved/rejected frontend</t>
  </si>
  <si>
    <t>6.10.2026</t>
  </si>
  <si>
    <t>Merge konfliktit ja leave group backend</t>
  </si>
  <si>
    <t>Leave group frontend</t>
  </si>
  <si>
    <t>7.10.2026</t>
  </si>
  <si>
    <t>Leave group frontend + RemoveMember</t>
  </si>
  <si>
    <t>8.10.2026</t>
  </si>
  <si>
    <t>RemoveMember + OwnerActions hidden</t>
  </si>
  <si>
    <t>CoverBlinds for group-page like favorites has</t>
  </si>
  <si>
    <t>Bug fixing memberlist and join-requests</t>
  </si>
  <si>
    <t>Group css styling and commenting backend</t>
  </si>
  <si>
    <t>GetMovies &amp; PostMovies Frontend</t>
  </si>
  <si>
    <t>Presentation Preparation</t>
  </si>
  <si>
    <t>Group customize frontend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</si>
</sst>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dd/mm/yyyy;@" x16r2:formatCode16="[$-en-FI,1]dd/mm/yyyy;@"/>
    <numFmt numFmtId="165" formatCode="dd:mm:yyyy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charset val="1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tti Rundelin" id="{EEAB108D-B8E3-4EC4-A167-37B888906A3E}" userId="S::marundel24@students.oamk.fi::56eb3030-3b66-4cba-bfac-a358f0f208c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6-08-26T18:36:45.02" personId="{EEAB108D-B8E3-4EC4-A167-37B888906A3E}" id="{62BA71C6-FB13-4EC8-8F77-0B362BBBEE65}">
    <text>main -branchiin ei voi pushata suoraan vaan vaativat Pull Requestin. Requestit linkkaantuvat itsestään backlog itemien kanssa. Myös PR:t ilmaantuvat itse backlogiin ja niiden tilat.</text>
  </threadedComment>
  <threadedComment ref="B5" dT="2026-08-27T15:28:18.46" personId="{EEAB108D-B8E3-4EC4-A167-37B888906A3E}" id="{503DE129-82A4-4445-904D-ABEAAC04D5B9}">
    <text>palvelin infrastruktuurikaavio ja sisäänkirjautumisen tilakaavio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E26"/>
  <sheetViews>
    <sheetView workbookViewId="0">
      <selection activeCell="E24" sqref="E24"/>
    </sheetView>
  </sheetViews>
  <sheetFormatPr defaultRowHeight="14.65"/>
  <cols>
    <col min="1" max="1" width="9.85546875" customWidth="1"/>
    <col min="2" max="2" width="39.42578125" customWidth="1"/>
    <col min="3" max="3" width="17.85546875" customWidth="1"/>
  </cols>
  <sheetData>
    <row r="1" spans="1:5">
      <c r="A1" s="2" t="s">
        <v>0</v>
      </c>
      <c r="B1">
        <v>9</v>
      </c>
    </row>
    <row r="2" spans="1:5">
      <c r="A2" s="2" t="s">
        <v>1</v>
      </c>
      <c r="B2" s="2" t="s">
        <v>2</v>
      </c>
      <c r="C2" s="2" t="s">
        <v>3</v>
      </c>
      <c r="E2">
        <f>SUM(C:C)</f>
        <v>49</v>
      </c>
    </row>
    <row r="3" spans="1:5">
      <c r="A3" s="1" t="s">
        <v>4</v>
      </c>
      <c r="B3" t="s">
        <v>5</v>
      </c>
      <c r="C3">
        <v>2.5</v>
      </c>
    </row>
    <row r="4" spans="1:5">
      <c r="A4" s="1" t="s">
        <v>6</v>
      </c>
      <c r="B4" t="s">
        <v>7</v>
      </c>
      <c r="C4">
        <v>2</v>
      </c>
    </row>
    <row r="5" spans="1:5">
      <c r="A5" t="s">
        <v>6</v>
      </c>
      <c r="B5" t="s">
        <v>8</v>
      </c>
      <c r="C5">
        <v>0.5</v>
      </c>
    </row>
    <row r="6" spans="1:5">
      <c r="A6" t="s">
        <v>9</v>
      </c>
      <c r="B6" t="s">
        <v>10</v>
      </c>
      <c r="C6">
        <v>2.5</v>
      </c>
    </row>
    <row r="7" spans="1:5">
      <c r="A7" t="s">
        <v>11</v>
      </c>
      <c r="B7" t="s">
        <v>12</v>
      </c>
      <c r="C7">
        <v>1</v>
      </c>
    </row>
    <row r="8" spans="1:5">
      <c r="A8" t="s">
        <v>11</v>
      </c>
      <c r="B8" t="s">
        <v>13</v>
      </c>
      <c r="C8">
        <v>5</v>
      </c>
    </row>
    <row r="9" spans="1:5">
      <c r="A9" t="s">
        <v>14</v>
      </c>
      <c r="B9" t="s">
        <v>15</v>
      </c>
      <c r="C9">
        <v>1</v>
      </c>
    </row>
    <row r="10" spans="1:5">
      <c r="A10" t="s">
        <v>16</v>
      </c>
      <c r="B10" t="s">
        <v>15</v>
      </c>
      <c r="C10">
        <v>2</v>
      </c>
    </row>
    <row r="11" spans="1:5">
      <c r="A11" t="s">
        <v>17</v>
      </c>
      <c r="B11" t="s">
        <v>18</v>
      </c>
      <c r="C11">
        <v>3</v>
      </c>
    </row>
    <row r="12" spans="1:5">
      <c r="A12" t="s">
        <v>19</v>
      </c>
      <c r="B12" t="s">
        <v>20</v>
      </c>
      <c r="C12">
        <v>1</v>
      </c>
    </row>
    <row r="13" spans="1:5">
      <c r="A13" t="s">
        <v>21</v>
      </c>
      <c r="B13" t="s">
        <v>22</v>
      </c>
      <c r="C13">
        <v>1</v>
      </c>
    </row>
    <row r="14" spans="1:5">
      <c r="A14" t="s">
        <v>23</v>
      </c>
      <c r="B14" t="s">
        <v>24</v>
      </c>
      <c r="C14">
        <v>1</v>
      </c>
    </row>
    <row r="15" spans="1:5">
      <c r="A15" t="s">
        <v>25</v>
      </c>
      <c r="B15" t="s">
        <v>26</v>
      </c>
      <c r="C15">
        <v>2</v>
      </c>
    </row>
    <row r="16" spans="1:5">
      <c r="A16" t="s">
        <v>27</v>
      </c>
      <c r="B16" t="s">
        <v>28</v>
      </c>
      <c r="C16">
        <v>3</v>
      </c>
    </row>
    <row r="17" spans="1:3">
      <c r="A17" t="s">
        <v>29</v>
      </c>
      <c r="B17" t="s">
        <v>30</v>
      </c>
      <c r="C17">
        <v>1.5</v>
      </c>
    </row>
    <row r="18" spans="1:3">
      <c r="A18" t="s">
        <v>31</v>
      </c>
      <c r="B18" t="s">
        <v>32</v>
      </c>
      <c r="C18">
        <v>3</v>
      </c>
    </row>
    <row r="19" spans="1:3">
      <c r="A19" t="s">
        <v>33</v>
      </c>
      <c r="B19" t="s">
        <v>34</v>
      </c>
      <c r="C19">
        <v>1</v>
      </c>
    </row>
    <row r="20" spans="1:3">
      <c r="A20" t="s">
        <v>35</v>
      </c>
      <c r="B20" t="s">
        <v>36</v>
      </c>
      <c r="C20">
        <v>3</v>
      </c>
    </row>
    <row r="21" spans="1:3">
      <c r="A21" t="s">
        <v>37</v>
      </c>
      <c r="B21" t="s">
        <v>38</v>
      </c>
      <c r="C21">
        <v>1</v>
      </c>
    </row>
    <row r="22" spans="1:3">
      <c r="A22" t="s">
        <v>39</v>
      </c>
      <c r="B22" t="s">
        <v>40</v>
      </c>
      <c r="C22">
        <v>1</v>
      </c>
    </row>
    <row r="23" spans="1:3">
      <c r="A23" t="s">
        <v>41</v>
      </c>
      <c r="B23" t="s">
        <v>40</v>
      </c>
      <c r="C23">
        <v>3</v>
      </c>
    </row>
    <row r="24" spans="1:3">
      <c r="A24" t="s">
        <v>42</v>
      </c>
      <c r="B24" t="s">
        <v>43</v>
      </c>
      <c r="C24">
        <v>2</v>
      </c>
    </row>
    <row r="25" spans="1:3">
      <c r="A25" t="s">
        <v>44</v>
      </c>
      <c r="B25" t="s">
        <v>45</v>
      </c>
      <c r="C25">
        <v>2</v>
      </c>
    </row>
    <row r="26" spans="1:3">
      <c r="A26" t="s">
        <v>46</v>
      </c>
      <c r="B26" t="s">
        <v>47</v>
      </c>
      <c r="C2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FA57C-D1BC-47DD-8AF5-E13094AC03BB}">
  <dimension ref="A1:F28"/>
  <sheetViews>
    <sheetView topLeftCell="A17" workbookViewId="0">
      <selection activeCell="C21" sqref="C21"/>
    </sheetView>
  </sheetViews>
  <sheetFormatPr defaultRowHeight="14.65"/>
  <cols>
    <col min="1" max="1" width="12.5703125" customWidth="1"/>
    <col min="2" max="2" width="30.85546875" customWidth="1"/>
    <col min="3" max="3" width="17" customWidth="1"/>
  </cols>
  <sheetData>
    <row r="1" spans="1:6">
      <c r="A1" t="s">
        <v>0</v>
      </c>
      <c r="B1">
        <v>6</v>
      </c>
    </row>
    <row r="2" spans="1:6">
      <c r="A2" t="s">
        <v>1</v>
      </c>
      <c r="B2" t="s">
        <v>2</v>
      </c>
      <c r="C2" t="s">
        <v>48</v>
      </c>
      <c r="E2" s="13" t="s">
        <v>49</v>
      </c>
      <c r="F2">
        <f>SUM(C3:C25)</f>
        <v>51</v>
      </c>
    </row>
    <row r="3" spans="1:6">
      <c r="A3" s="6" t="s">
        <v>50</v>
      </c>
      <c r="B3" s="8" t="s">
        <v>51</v>
      </c>
      <c r="C3">
        <v>2.5</v>
      </c>
    </row>
    <row r="4" spans="1:6">
      <c r="A4" s="7">
        <v>46268</v>
      </c>
      <c r="B4" s="8" t="s">
        <v>52</v>
      </c>
      <c r="C4">
        <v>2</v>
      </c>
    </row>
    <row r="5" spans="1:6" ht="29.1">
      <c r="A5" s="7">
        <v>46273</v>
      </c>
      <c r="B5" s="8" t="s">
        <v>53</v>
      </c>
      <c r="C5">
        <v>2.5</v>
      </c>
    </row>
    <row r="6" spans="1:6" ht="58.35">
      <c r="A6" s="7">
        <v>46275</v>
      </c>
      <c r="B6" s="8" t="s">
        <v>54</v>
      </c>
      <c r="C6">
        <v>5</v>
      </c>
    </row>
    <row r="7" spans="1:6" ht="29.1">
      <c r="A7" s="7">
        <v>46277</v>
      </c>
      <c r="B7" s="8" t="s">
        <v>55</v>
      </c>
      <c r="C7">
        <v>2</v>
      </c>
    </row>
    <row r="8" spans="1:6" ht="58.35">
      <c r="A8" s="7">
        <v>46278</v>
      </c>
      <c r="B8" s="8" t="s">
        <v>56</v>
      </c>
      <c r="C8">
        <v>2.5</v>
      </c>
    </row>
    <row r="9" spans="1:6" ht="58.35">
      <c r="A9" s="7">
        <v>46280</v>
      </c>
      <c r="B9" s="8" t="s">
        <v>57</v>
      </c>
      <c r="C9">
        <v>2.5</v>
      </c>
    </row>
    <row r="10" spans="1:6" ht="29.1">
      <c r="A10" s="7">
        <v>46281</v>
      </c>
      <c r="B10" s="8" t="s">
        <v>58</v>
      </c>
      <c r="C10">
        <v>1.5</v>
      </c>
    </row>
    <row r="11" spans="1:6" ht="58.35">
      <c r="A11" s="7">
        <v>46282</v>
      </c>
      <c r="B11" s="8" t="s">
        <v>59</v>
      </c>
      <c r="C11">
        <v>2</v>
      </c>
    </row>
    <row r="12" spans="1:6">
      <c r="A12" s="7">
        <v>46285</v>
      </c>
      <c r="B12" s="8" t="s">
        <v>60</v>
      </c>
      <c r="C12">
        <v>2.5</v>
      </c>
    </row>
    <row r="13" spans="1:6" ht="29.1">
      <c r="A13" s="7">
        <v>46286</v>
      </c>
      <c r="B13" s="8" t="s">
        <v>61</v>
      </c>
      <c r="C13">
        <v>3</v>
      </c>
    </row>
    <row r="14" spans="1:6" ht="29.1">
      <c r="A14" s="7">
        <v>46288</v>
      </c>
      <c r="B14" s="8" t="s">
        <v>62</v>
      </c>
      <c r="C14">
        <v>2</v>
      </c>
    </row>
    <row r="15" spans="1:6" ht="43.7">
      <c r="A15" s="7">
        <v>46289</v>
      </c>
      <c r="B15" s="8" t="s">
        <v>63</v>
      </c>
      <c r="C15">
        <v>3</v>
      </c>
    </row>
    <row r="16" spans="1:6" ht="29.1">
      <c r="A16" s="7">
        <v>46293</v>
      </c>
      <c r="B16" s="8" t="s">
        <v>64</v>
      </c>
      <c r="C16">
        <v>2</v>
      </c>
    </row>
    <row r="17" spans="1:3" ht="102">
      <c r="A17" s="7">
        <v>46295</v>
      </c>
      <c r="B17" s="8" t="s">
        <v>65</v>
      </c>
      <c r="C17">
        <v>4</v>
      </c>
    </row>
    <row r="18" spans="1:3" ht="29.1">
      <c r="A18" s="7">
        <v>46301</v>
      </c>
      <c r="B18" s="8" t="s">
        <v>66</v>
      </c>
      <c r="C18">
        <v>1</v>
      </c>
    </row>
    <row r="19" spans="1:3">
      <c r="A19" s="7">
        <v>46302</v>
      </c>
      <c r="B19" s="8" t="s">
        <v>67</v>
      </c>
      <c r="C19">
        <v>5</v>
      </c>
    </row>
    <row r="20" spans="1:3" ht="29.1">
      <c r="A20" s="7">
        <v>46304</v>
      </c>
      <c r="B20" s="8" t="s">
        <v>68</v>
      </c>
      <c r="C20">
        <v>2.5</v>
      </c>
    </row>
    <row r="21" spans="1:3">
      <c r="A21" s="7">
        <v>46309</v>
      </c>
      <c r="B21" s="8" t="s">
        <v>69</v>
      </c>
      <c r="C21">
        <v>3.5</v>
      </c>
    </row>
    <row r="22" spans="1:3">
      <c r="A22" s="7"/>
      <c r="B22" s="8"/>
    </row>
    <row r="23" spans="1:3">
      <c r="A23" s="7"/>
      <c r="B23" s="8"/>
    </row>
    <row r="24" spans="1:3">
      <c r="A24" s="7"/>
      <c r="B24" s="8"/>
    </row>
    <row r="25" spans="1:3">
      <c r="A25" s="7"/>
      <c r="B25" s="8"/>
    </row>
    <row r="26" spans="1:3">
      <c r="A26" s="7"/>
    </row>
    <row r="27" spans="1:3">
      <c r="A27" s="7"/>
    </row>
    <row r="28" spans="1:3">
      <c r="A28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BDB4-BB61-4D21-BBB5-8962A65BBBAD}">
  <dimension ref="A1:F21"/>
  <sheetViews>
    <sheetView tabSelected="1" workbookViewId="0">
      <selection activeCell="C22" sqref="C22"/>
    </sheetView>
  </sheetViews>
  <sheetFormatPr defaultRowHeight="14.65"/>
  <cols>
    <col min="1" max="1" width="13.7109375" style="5" customWidth="1"/>
    <col min="2" max="2" width="52.7109375" bestFit="1" customWidth="1"/>
    <col min="3" max="3" width="14.7109375" bestFit="1" customWidth="1"/>
    <col min="4" max="6" width="13.28515625" customWidth="1"/>
  </cols>
  <sheetData>
    <row r="1" spans="1:6">
      <c r="A1" s="3" t="s">
        <v>0</v>
      </c>
      <c r="B1" s="2">
        <v>6</v>
      </c>
    </row>
    <row r="2" spans="1:6">
      <c r="A2" s="3" t="s">
        <v>1</v>
      </c>
      <c r="B2" s="2" t="s">
        <v>2</v>
      </c>
      <c r="C2" s="2" t="s">
        <v>70</v>
      </c>
      <c r="E2" s="12" t="s">
        <v>71</v>
      </c>
      <c r="F2">
        <f>SUM(C3:C139)</f>
        <v>50.5</v>
      </c>
    </row>
    <row r="3" spans="1:6">
      <c r="A3" s="4">
        <v>46260</v>
      </c>
      <c r="B3" t="s">
        <v>72</v>
      </c>
      <c r="C3">
        <v>2</v>
      </c>
    </row>
    <row r="4" spans="1:6">
      <c r="A4" s="4">
        <v>46260</v>
      </c>
      <c r="B4" t="s">
        <v>73</v>
      </c>
      <c r="C4">
        <v>2</v>
      </c>
    </row>
    <row r="5" spans="1:6">
      <c r="A5" s="4">
        <v>46261</v>
      </c>
      <c r="B5" t="s">
        <v>74</v>
      </c>
      <c r="C5">
        <v>2</v>
      </c>
    </row>
    <row r="6" spans="1:6">
      <c r="A6" s="4">
        <v>46267</v>
      </c>
      <c r="B6" t="s">
        <v>75</v>
      </c>
      <c r="C6">
        <v>2.5</v>
      </c>
    </row>
    <row r="7" spans="1:6">
      <c r="A7" s="4">
        <v>46268</v>
      </c>
      <c r="B7" t="s">
        <v>76</v>
      </c>
      <c r="C7">
        <v>2.5</v>
      </c>
    </row>
    <row r="8" spans="1:6">
      <c r="A8" s="4">
        <v>46273</v>
      </c>
      <c r="B8" t="s">
        <v>77</v>
      </c>
      <c r="C8">
        <v>3.5</v>
      </c>
    </row>
    <row r="9" spans="1:6">
      <c r="A9" s="4">
        <v>46275</v>
      </c>
      <c r="B9" t="s">
        <v>78</v>
      </c>
      <c r="C9">
        <v>4</v>
      </c>
    </row>
    <row r="10" spans="1:6">
      <c r="A10" s="4">
        <v>46279</v>
      </c>
      <c r="B10" t="s">
        <v>79</v>
      </c>
      <c r="C10">
        <v>3</v>
      </c>
    </row>
    <row r="11" spans="1:6">
      <c r="A11" s="4">
        <v>46286</v>
      </c>
      <c r="B11" t="s">
        <v>80</v>
      </c>
      <c r="C11">
        <v>3</v>
      </c>
    </row>
    <row r="12" spans="1:6">
      <c r="A12" s="4">
        <v>46289</v>
      </c>
      <c r="B12" t="s">
        <v>81</v>
      </c>
      <c r="C12">
        <v>4</v>
      </c>
    </row>
    <row r="13" spans="1:6">
      <c r="A13" s="4">
        <v>46298</v>
      </c>
      <c r="B13" t="s">
        <v>82</v>
      </c>
      <c r="C13">
        <v>3</v>
      </c>
    </row>
    <row r="14" spans="1:6">
      <c r="A14" s="4">
        <v>46300</v>
      </c>
      <c r="B14" t="s">
        <v>83</v>
      </c>
      <c r="C14">
        <v>1</v>
      </c>
    </row>
    <row r="15" spans="1:6">
      <c r="A15" s="4">
        <v>46301</v>
      </c>
      <c r="B15" t="s">
        <v>84</v>
      </c>
      <c r="C15">
        <v>2</v>
      </c>
    </row>
    <row r="16" spans="1:6">
      <c r="A16" s="4">
        <v>46304</v>
      </c>
      <c r="B16" t="s">
        <v>85</v>
      </c>
      <c r="C16">
        <v>3</v>
      </c>
    </row>
    <row r="17" spans="1:3">
      <c r="A17" s="4">
        <v>46305</v>
      </c>
      <c r="B17" t="s">
        <v>86</v>
      </c>
      <c r="C17">
        <v>2</v>
      </c>
    </row>
    <row r="18" spans="1:3" ht="18.75" customHeight="1">
      <c r="A18" s="4">
        <v>46309</v>
      </c>
      <c r="B18" t="s">
        <v>87</v>
      </c>
      <c r="C18" s="8">
        <v>5</v>
      </c>
    </row>
    <row r="19" spans="1:3">
      <c r="A19" s="4">
        <v>46309</v>
      </c>
      <c r="B19" t="s">
        <v>88</v>
      </c>
      <c r="C19">
        <v>2</v>
      </c>
    </row>
    <row r="20" spans="1:3">
      <c r="A20" s="4">
        <v>46309</v>
      </c>
      <c r="B20" t="s">
        <v>89</v>
      </c>
      <c r="C20">
        <v>3</v>
      </c>
    </row>
    <row r="21" spans="1:3">
      <c r="A21" s="4">
        <v>46310</v>
      </c>
      <c r="B21" t="s">
        <v>90</v>
      </c>
      <c r="C21">
        <v>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DB5A8-6CD9-4B04-AA7C-8BD80A6C1E34}">
  <dimension ref="A1:D41"/>
  <sheetViews>
    <sheetView topLeftCell="A16" workbookViewId="0">
      <selection activeCell="B40" sqref="B40"/>
    </sheetView>
  </sheetViews>
  <sheetFormatPr defaultRowHeight="14.65"/>
  <cols>
    <col min="1" max="1" width="10.28515625" customWidth="1"/>
    <col min="2" max="2" width="37.28515625" customWidth="1"/>
    <col min="3" max="3" width="14.85546875" customWidth="1"/>
  </cols>
  <sheetData>
    <row r="1" spans="1:4">
      <c r="A1" s="2" t="s">
        <v>0</v>
      </c>
    </row>
    <row r="2" spans="1:4">
      <c r="A2" s="2" t="s">
        <v>1</v>
      </c>
      <c r="B2" s="2" t="s">
        <v>2</v>
      </c>
      <c r="C2" s="2" t="s">
        <v>91</v>
      </c>
      <c r="D2" s="11" t="s">
        <v>92</v>
      </c>
    </row>
    <row r="3" spans="1:4">
      <c r="A3" t="s">
        <v>4</v>
      </c>
      <c r="B3" t="s">
        <v>93</v>
      </c>
      <c r="C3">
        <v>2.5</v>
      </c>
      <c r="D3">
        <f>SUM(C:C)</f>
        <v>67</v>
      </c>
    </row>
    <row r="4" spans="1:4">
      <c r="A4" t="s">
        <v>94</v>
      </c>
      <c r="B4" t="s">
        <v>95</v>
      </c>
      <c r="C4">
        <v>2.5</v>
      </c>
    </row>
    <row r="5" spans="1:4">
      <c r="A5" t="s">
        <v>6</v>
      </c>
      <c r="B5" t="s">
        <v>96</v>
      </c>
      <c r="C5">
        <v>2</v>
      </c>
    </row>
    <row r="6" spans="1:4">
      <c r="A6" t="s">
        <v>6</v>
      </c>
      <c r="B6" t="s">
        <v>97</v>
      </c>
      <c r="C6">
        <v>0.5</v>
      </c>
    </row>
    <row r="7" spans="1:4">
      <c r="A7" t="s">
        <v>9</v>
      </c>
      <c r="B7" t="s">
        <v>98</v>
      </c>
      <c r="C7">
        <v>3.5</v>
      </c>
    </row>
    <row r="8" spans="1:4">
      <c r="A8" t="s">
        <v>9</v>
      </c>
      <c r="B8" t="s">
        <v>99</v>
      </c>
      <c r="C8">
        <v>3.5</v>
      </c>
    </row>
    <row r="9" spans="1:4">
      <c r="A9" t="s">
        <v>100</v>
      </c>
      <c r="B9" t="s">
        <v>101</v>
      </c>
      <c r="C9">
        <v>1</v>
      </c>
    </row>
    <row r="10" spans="1:4">
      <c r="A10" t="s">
        <v>11</v>
      </c>
      <c r="B10" t="s">
        <v>102</v>
      </c>
      <c r="C10">
        <v>5</v>
      </c>
    </row>
    <row r="11" spans="1:4">
      <c r="A11" t="s">
        <v>103</v>
      </c>
      <c r="B11" t="s">
        <v>104</v>
      </c>
      <c r="C11">
        <v>1</v>
      </c>
    </row>
    <row r="12" spans="1:4">
      <c r="A12" t="s">
        <v>16</v>
      </c>
      <c r="B12" t="s">
        <v>105</v>
      </c>
      <c r="C12">
        <v>0.5</v>
      </c>
    </row>
    <row r="13" spans="1:4">
      <c r="A13" s="9" t="s">
        <v>16</v>
      </c>
      <c r="B13" t="s">
        <v>106</v>
      </c>
      <c r="C13">
        <v>1</v>
      </c>
    </row>
    <row r="14" spans="1:4">
      <c r="A14" t="s">
        <v>17</v>
      </c>
      <c r="B14" t="s">
        <v>107</v>
      </c>
      <c r="C14">
        <v>3</v>
      </c>
    </row>
    <row r="15" spans="1:4">
      <c r="A15" t="s">
        <v>19</v>
      </c>
      <c r="B15" t="s">
        <v>108</v>
      </c>
      <c r="C15">
        <v>1.5</v>
      </c>
    </row>
    <row r="16" spans="1:4">
      <c r="A16" t="s">
        <v>21</v>
      </c>
      <c r="B16" t="s">
        <v>109</v>
      </c>
      <c r="C16">
        <v>1.5</v>
      </c>
    </row>
    <row r="17" spans="1:3">
      <c r="A17" t="s">
        <v>21</v>
      </c>
      <c r="B17" s="10" t="s">
        <v>110</v>
      </c>
      <c r="C17">
        <v>1</v>
      </c>
    </row>
    <row r="18" spans="1:3">
      <c r="A18" t="s">
        <v>111</v>
      </c>
      <c r="B18" t="s">
        <v>112</v>
      </c>
      <c r="C18">
        <v>1</v>
      </c>
    </row>
    <row r="19" spans="1:3">
      <c r="A19" t="s">
        <v>113</v>
      </c>
      <c r="B19" t="s">
        <v>114</v>
      </c>
      <c r="C19">
        <v>0.5</v>
      </c>
    </row>
    <row r="20" spans="1:3">
      <c r="A20" t="s">
        <v>25</v>
      </c>
      <c r="B20" t="s">
        <v>115</v>
      </c>
      <c r="C20">
        <v>2.5</v>
      </c>
    </row>
    <row r="21" spans="1:3">
      <c r="A21" t="s">
        <v>25</v>
      </c>
      <c r="B21" t="s">
        <v>116</v>
      </c>
      <c r="C21">
        <v>1</v>
      </c>
    </row>
    <row r="22" spans="1:3">
      <c r="A22" t="s">
        <v>27</v>
      </c>
      <c r="B22" t="s">
        <v>117</v>
      </c>
      <c r="C22">
        <v>1</v>
      </c>
    </row>
    <row r="23" spans="1:3">
      <c r="A23" t="s">
        <v>118</v>
      </c>
      <c r="B23" t="s">
        <v>119</v>
      </c>
      <c r="C23">
        <v>2</v>
      </c>
    </row>
    <row r="24" spans="1:3">
      <c r="A24" t="s">
        <v>29</v>
      </c>
      <c r="B24" t="s">
        <v>120</v>
      </c>
      <c r="C24">
        <v>2.5</v>
      </c>
    </row>
    <row r="25" spans="1:3">
      <c r="A25" t="s">
        <v>31</v>
      </c>
      <c r="B25" t="s">
        <v>121</v>
      </c>
      <c r="C25">
        <v>2.5</v>
      </c>
    </row>
    <row r="26" spans="1:3">
      <c r="A26" t="s">
        <v>31</v>
      </c>
      <c r="B26" t="s">
        <v>122</v>
      </c>
      <c r="C26">
        <v>2.5</v>
      </c>
    </row>
    <row r="27" spans="1:3">
      <c r="A27" t="s">
        <v>33</v>
      </c>
      <c r="B27" t="s">
        <v>123</v>
      </c>
      <c r="C27">
        <v>1</v>
      </c>
    </row>
    <row r="28" spans="1:3">
      <c r="A28" t="s">
        <v>33</v>
      </c>
      <c r="B28" t="s">
        <v>124</v>
      </c>
      <c r="C28">
        <v>1.5</v>
      </c>
    </row>
    <row r="29" spans="1:3">
      <c r="A29" t="s">
        <v>35</v>
      </c>
      <c r="B29" t="s">
        <v>125</v>
      </c>
      <c r="C29">
        <v>1.5</v>
      </c>
    </row>
    <row r="30" spans="1:3">
      <c r="A30" t="s">
        <v>35</v>
      </c>
      <c r="B30" t="s">
        <v>126</v>
      </c>
      <c r="C30">
        <v>1</v>
      </c>
    </row>
    <row r="31" spans="1:3">
      <c r="A31" t="s">
        <v>37</v>
      </c>
      <c r="B31" t="s">
        <v>127</v>
      </c>
      <c r="C31">
        <v>1</v>
      </c>
    </row>
    <row r="32" spans="1:3">
      <c r="A32" t="s">
        <v>128</v>
      </c>
      <c r="B32" t="s">
        <v>129</v>
      </c>
      <c r="C32">
        <v>2.5</v>
      </c>
    </row>
    <row r="33" spans="1:3">
      <c r="A33" t="s">
        <v>128</v>
      </c>
      <c r="B33" t="s">
        <v>130</v>
      </c>
      <c r="C33">
        <v>1</v>
      </c>
    </row>
    <row r="34" spans="1:3">
      <c r="A34" t="s">
        <v>131</v>
      </c>
      <c r="B34" t="s">
        <v>132</v>
      </c>
      <c r="C34">
        <v>1</v>
      </c>
    </row>
    <row r="35" spans="1:3">
      <c r="A35" t="s">
        <v>133</v>
      </c>
      <c r="B35" t="s">
        <v>134</v>
      </c>
      <c r="C35">
        <v>2</v>
      </c>
    </row>
    <row r="36" spans="1:3">
      <c r="A36" t="s">
        <v>39</v>
      </c>
      <c r="B36" t="s">
        <v>135</v>
      </c>
      <c r="C36">
        <v>0.5</v>
      </c>
    </row>
    <row r="37" spans="1:3">
      <c r="A37" t="s">
        <v>41</v>
      </c>
      <c r="B37" t="s">
        <v>136</v>
      </c>
      <c r="C37">
        <v>1.5</v>
      </c>
    </row>
    <row r="38" spans="1:3">
      <c r="A38" t="s">
        <v>44</v>
      </c>
      <c r="B38" t="s">
        <v>137</v>
      </c>
      <c r="C38">
        <v>1</v>
      </c>
    </row>
    <row r="39" spans="1:3">
      <c r="A39" t="s">
        <v>44</v>
      </c>
      <c r="B39" t="s">
        <v>138</v>
      </c>
      <c r="C39">
        <v>1.5</v>
      </c>
    </row>
    <row r="40" spans="1:3">
      <c r="A40" t="s">
        <v>46</v>
      </c>
      <c r="B40" t="s">
        <v>139</v>
      </c>
      <c r="C40">
        <v>3.5</v>
      </c>
    </row>
    <row r="41" spans="1:3">
      <c r="A41" t="s">
        <v>46</v>
      </c>
      <c r="B41" t="s">
        <v>140</v>
      </c>
      <c r="C4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3CF33C597F1D4C8BCF4EB52F57E21C" ma:contentTypeVersion="11" ma:contentTypeDescription="Create a new document." ma:contentTypeScope="" ma:versionID="8682ee33dd4252813a781844741f1afd">
  <xsd:schema xmlns:xsd="http://www.w3.org/2001/XMLSchema" xmlns:xs="http://www.w3.org/2001/XMLSchema" xmlns:p="http://schemas.microsoft.com/office/2006/metadata/properties" xmlns:ns3="8e13ffe0-cb3e-4b14-846c-c9074a87516f" targetNamespace="http://schemas.microsoft.com/office/2006/metadata/properties" ma:root="true" ma:fieldsID="0c02225184b8cf34fdc03dd37dcb02cf" ns3:_="">
    <xsd:import namespace="8e13ffe0-cb3e-4b14-846c-c9074a87516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3ffe0-cb3e-4b14-846c-c9074a87516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e13ffe0-cb3e-4b14-846c-c9074a87516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E65DC3-835B-4102-B9E4-1EFEE48C8D75}"/>
</file>

<file path=customXml/itemProps2.xml><?xml version="1.0" encoding="utf-8"?>
<ds:datastoreItem xmlns:ds="http://schemas.openxmlformats.org/officeDocument/2006/customXml" ds:itemID="{D3676ECA-C897-4680-B32B-4E1520E50B17}"/>
</file>

<file path=customXml/itemProps3.xml><?xml version="1.0" encoding="utf-8"?>
<ds:datastoreItem xmlns:ds="http://schemas.openxmlformats.org/officeDocument/2006/customXml" ds:itemID="{E1544648-42C0-41A8-A47C-8273BEEEEBBA}"/>
</file>

<file path=docMetadata/LabelInfo.xml><?xml version="1.0" encoding="utf-8"?>
<clbl:labelList xmlns:clbl="http://schemas.microsoft.com/office/2020/mipLabelMetadata">
  <clbl:label id="{9f9ce49a-5101-4aa3-8c75-0d5935ad6525}" enabled="0" method="" siteId="{9f9ce49a-5101-4aa3-8c75-0d5935ad65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/>
  <cp:revision/>
  <dcterms:created xsi:type="dcterms:W3CDTF">2023-10-18T07:31:54Z</dcterms:created>
  <dcterms:modified xsi:type="dcterms:W3CDTF">2026-10-15T00:48:10Z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0x0101002C3CF33C597F1D4C8BCF4EB52F57E21C</vt:lpwstr>
  </property>
</Properties>
</file>